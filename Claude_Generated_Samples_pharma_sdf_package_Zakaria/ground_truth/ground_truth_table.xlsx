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duct Facts" sheetId="2" state="visible" r:id="rId4"/>
    <sheet name="Documents" sheetId="3" state="visible" r:id="rId5"/>
    <sheet name="Page Truth" sheetId="4" state="visible" r:id="rId6"/>
  </sheets>
  <definedNames>
    <definedName function="false" hidden="true" localSheetId="2" name="_xlnm._FilterDatabase" vbProcedure="false">Documents!$A$1:$G$19</definedName>
    <definedName function="false" hidden="true" localSheetId="3" name="_xlnm._FilterDatabase" vbProcedure="false">'Page Truth'!$A$1:$I$30</definedName>
    <definedName function="false" hidden="true" localSheetId="1" name="_xlnm._FilterDatabase" vbProcedure="false">'Product Facts'!$A$1:$C$26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<sst xmlns="http://schemas.openxmlformats.org/spreadsheetml/2006/main" count="387" uniqueCount="160">
  <si>
    <t xml:space="preserve">Blob</t>
  </si>
  <si>
    <t xml:space="preserve">Total pages</t>
  </si>
  <si>
    <t xml:space="preserve">Documents (is_new_doc = Yes)</t>
  </si>
  <si>
    <t xml:space="preserve">Cover Letter</t>
  </si>
  <si>
    <t xml:space="preserve">Certificate of Quality</t>
  </si>
  <si>
    <t xml:space="preserve">Packaging Specification</t>
  </si>
  <si>
    <t xml:space="preserve">BSE/TSE Declaration</t>
  </si>
  <si>
    <t xml:space="preserve">Material Description</t>
  </si>
  <si>
    <t xml:space="preserve">Supplier Qualification</t>
  </si>
  <si>
    <t xml:space="preserve">Chain of Custody</t>
  </si>
  <si>
    <t xml:space="preserve">Other</t>
  </si>
  <si>
    <t xml:space="preserve">blob_A_lactose_standard_order.pdf</t>
  </si>
  <si>
    <t xml:space="preserve">blob_B_magnesium_stearate_shuffled.pdf</t>
  </si>
  <si>
    <t xml:space="preserve">blob_C_mixed_lots_with_noise.pdf</t>
  </si>
  <si>
    <t xml:space="preserve">Total</t>
  </si>
  <si>
    <t xml:space="preserve">Note: counts are formulas over the 'Page Truth' sheet. Labels match the classifier's allowed doc_type values; 'Other' = invoice / fax cover. All data is synthetic.</t>
  </si>
  <si>
    <t xml:space="preserve">Field</t>
  </si>
  <si>
    <t xml:space="preserve">Lactose Monohydrate</t>
  </si>
  <si>
    <t xml:space="preserve">Magnesium Stearate</t>
  </si>
  <si>
    <t xml:space="preserve">Product name</t>
  </si>
  <si>
    <t xml:space="preserve">Grade</t>
  </si>
  <si>
    <t xml:space="preserve">AlderLac 200M</t>
  </si>
  <si>
    <t xml:space="preserve">VeraStear MV</t>
  </si>
  <si>
    <t xml:space="preserve">CAS number</t>
  </si>
  <si>
    <t xml:space="preserve">5989-81-1</t>
  </si>
  <si>
    <t xml:space="preserve">557-04-0</t>
  </si>
  <si>
    <t xml:space="preserve">Pharmacopoeia</t>
  </si>
  <si>
    <t xml:space="preserve">Ph. Eur. 0187 / USP-NF / JP (harmonised)</t>
  </si>
  <si>
    <t xml:space="preserve">Ph. Eur. 0229 / USP-NF / JP (harmonised)</t>
  </si>
  <si>
    <t xml:space="preserve">Supplier</t>
  </si>
  <si>
    <t xml:space="preserve">Alderwood Excipients GmbH</t>
  </si>
  <si>
    <t xml:space="preserve">Verdant Oleochemicals Sdn. Bhd.</t>
  </si>
  <si>
    <t xml:space="preserve">Supplier site</t>
  </si>
  <si>
    <t xml:space="preserve">Hafenstrasse 22, Ludwigshafen am Rhein, Germany</t>
  </si>
  <si>
    <t xml:space="preserve">Plot 18, Tanjung Langsat Industrial Estate, Pasir Gudang, Johor, Malaysia</t>
  </si>
  <si>
    <t xml:space="preserve">Customer</t>
  </si>
  <si>
    <t xml:space="preserve">Brightvale Pharmaceuticals Ltd.</t>
  </si>
  <si>
    <t xml:space="preserve">Lot number</t>
  </si>
  <si>
    <t xml:space="preserve">AL-260817-03</t>
  </si>
  <si>
    <t xml:space="preserve">VO-260729-11</t>
  </si>
  <si>
    <t xml:space="preserve">Date of manufacture</t>
  </si>
  <si>
    <t xml:space="preserve">17 Aug 2026</t>
  </si>
  <si>
    <t xml:space="preserve">29 Jul 2026</t>
  </si>
  <si>
    <t xml:space="preserve">Retest date</t>
  </si>
  <si>
    <t xml:space="preserve">16 Aug 2029</t>
  </si>
  <si>
    <t xml:space="preserve">28 Jul 2028</t>
  </si>
  <si>
    <t xml:space="preserve">QA release date</t>
  </si>
  <si>
    <t xml:space="preserve">02 Sep 2026</t>
  </si>
  <si>
    <t xml:space="preserve">12 Aug 2026</t>
  </si>
  <si>
    <t xml:space="preserve">Quantity shipped</t>
  </si>
  <si>
    <t xml:space="preserve">12,000 kg (480 bags x 25 kg)</t>
  </si>
  <si>
    <t xml:space="preserve">4,000 kg (200 bags x 20 kg)</t>
  </si>
  <si>
    <t xml:space="preserve">Customer PO</t>
  </si>
  <si>
    <t xml:space="preserve">BP-PO-45012877</t>
  </si>
  <si>
    <t xml:space="preserve">BP-PO-45013302</t>
  </si>
  <si>
    <t xml:space="preserve">Specification no.</t>
  </si>
  <si>
    <t xml:space="preserve">SPC-LAC-200M Rev. 7</t>
  </si>
  <si>
    <t xml:space="preserve">SPC-MGST-MV Rev. 4</t>
  </si>
  <si>
    <t xml:space="preserve">Supplier qualification ref</t>
  </si>
  <si>
    <t xml:space="preserve">SQ-ALD-2026-014</t>
  </si>
  <si>
    <t xml:space="preserve">SQ-VER-2026-007</t>
  </si>
  <si>
    <t xml:space="preserve">QA signatory</t>
  </si>
  <si>
    <t xml:space="preserve">Dr. Katrin Vogel</t>
  </si>
  <si>
    <t xml:space="preserve">Ms. Nurul Aisyah Rahman</t>
  </si>
  <si>
    <t xml:space="preserve">Regulatory signatory</t>
  </si>
  <si>
    <t xml:space="preserve">Mr. Jonas Brandt</t>
  </si>
  <si>
    <t xml:space="preserve">Ms. Tan Mei Ling</t>
  </si>
  <si>
    <t xml:space="preserve">Origin / TSE source</t>
  </si>
  <si>
    <t xml:space="preserve">Bovine milk (whey permeate); Rennet / animal-derived enzymes</t>
  </si>
  <si>
    <t xml:space="preserve">Fatty acids: palm kernel / palm oil; Processing aids / catalysts</t>
  </si>
  <si>
    <t xml:space="preserve">TSE conclusion</t>
  </si>
  <si>
    <t xml:space="preserve">Negligible BSE/TSE risk</t>
  </si>
  <si>
    <t xml:space="preserve">Primary packaging</t>
  </si>
  <si>
    <t xml:space="preserve">LDPE inner liner, 80 um, natural, heat-sealed / cable-tied</t>
  </si>
  <si>
    <t xml:space="preserve">LDPE inner liner, 100 um, natural, twist-tied</t>
  </si>
  <si>
    <t xml:space="preserve">Net weight per bag</t>
  </si>
  <si>
    <t xml:space="preserve">25.0 kg +/- 0.1 kg</t>
  </si>
  <si>
    <t xml:space="preserve">20.0 kg +/- 0.1 kg</t>
  </si>
  <si>
    <t xml:space="preserve">Storage</t>
  </si>
  <si>
    <t xml:space="preserve">Store dry at 15 - 30 °C, below 65 % RH, away from strong odours.</t>
  </si>
  <si>
    <t xml:space="preserve">Store in a dry place at 15 - 30 °C, protect from moisture and strong odours.</t>
  </si>
  <si>
    <t xml:space="preserve">Shelf life</t>
  </si>
  <si>
    <t xml:space="preserve">36 months from date of manufacture (retest thereafter)</t>
  </si>
  <si>
    <t xml:space="preserve">24 months from date of manufacture (retest thereafter)</t>
  </si>
  <si>
    <t xml:space="preserve">Transport seal no.</t>
  </si>
  <si>
    <t xml:space="preserve">RC-771204</t>
  </si>
  <si>
    <t xml:space="preserve">VS-30981</t>
  </si>
  <si>
    <t xml:space="preserve">Additional lot (blob C only)</t>
  </si>
  <si>
    <t xml:space="preserve">AL-260822-01 (CoQ only; mfg 22 Aug 2026; 6,000 kg (240 bags x 25 kg))</t>
  </si>
  <si>
    <t xml:space="preserve">-</t>
  </si>
  <si>
    <t xml:space="preserve">Product</t>
  </si>
  <si>
    <t xml:space="preserve">Lot</t>
  </si>
  <si>
    <t xml:space="preserve">Doc type</t>
  </si>
  <si>
    <t xml:space="preserve">Document ref (footer)</t>
  </si>
  <si>
    <t xml:space="preserve">Pages</t>
  </si>
  <si>
    <t xml:space="preserve">Individual file</t>
  </si>
  <si>
    <t xml:space="preserve">Signatory</t>
  </si>
  <si>
    <t xml:space="preserve">CL-AL-260817-03</t>
  </si>
  <si>
    <t xml:space="preserve">individual/lactose/01_cover_letter_AL-260817-03.pdf</t>
  </si>
  <si>
    <t xml:space="preserve">CoQ-AL-260817-03</t>
  </si>
  <si>
    <t xml:space="preserve">individual/lactose/02_certificate_of_quality_AL-260817-03.pdf</t>
  </si>
  <si>
    <t xml:space="preserve">PS-LACTOSE-ALDERL</t>
  </si>
  <si>
    <t xml:space="preserve">individual/lactose/03_packaging_specification_AL-260817-03.pdf</t>
  </si>
  <si>
    <t xml:space="preserve">Mr. Jonas Brandt / Dr. Katrin Vogel</t>
  </si>
  <si>
    <t xml:space="preserve">TSE-AL-260817-03</t>
  </si>
  <si>
    <t xml:space="preserve">individual/lactose/04_bse_tse_declaration_AL-260817-03.pdf</t>
  </si>
  <si>
    <t xml:space="preserve">MD-LACTOSE</t>
  </si>
  <si>
    <t xml:space="preserve">individual/lactose/05_material_description_AL-260817-03.pdf</t>
  </si>
  <si>
    <t xml:space="preserve">individual/lactose/06_supplier_qualification_AL-260817-03.pdf</t>
  </si>
  <si>
    <t xml:space="preserve">Dr. Katrin Vogel / Mr. Daniel Hargreaves</t>
  </si>
  <si>
    <t xml:space="preserve">COC-AL-260817-03</t>
  </si>
  <si>
    <t xml:space="preserve">individual/lactose/07_chain_of_custody_AL-260817-03.pdf</t>
  </si>
  <si>
    <t xml:space="preserve">INV-7-03</t>
  </si>
  <si>
    <t xml:space="preserve">individual/lactose/98_invoice_AL-260817-03.pdf</t>
  </si>
  <si>
    <t xml:space="preserve">FAX-TX-0914</t>
  </si>
  <si>
    <t xml:space="preserve">individual/lactose/99_fax_cover_AL-260817-03.pdf</t>
  </si>
  <si>
    <t xml:space="preserve">CL-VO-260729-11</t>
  </si>
  <si>
    <t xml:space="preserve">individual/magnesium_stearate/01_cover_letter_VO-260729-11.pdf</t>
  </si>
  <si>
    <t xml:space="preserve">CoQ-VO-260729-11</t>
  </si>
  <si>
    <t xml:space="preserve">individual/magnesium_stearate/02_certificate_of_quality_VO-260729-11.pdf</t>
  </si>
  <si>
    <t xml:space="preserve">PS-MGST-VERAST</t>
  </si>
  <si>
    <t xml:space="preserve">individual/magnesium_stearate/03_packaging_specification_VO-260729-11.pdf</t>
  </si>
  <si>
    <t xml:space="preserve">Ms. Tan Mei Ling / Ms. Nurul Aisyah Rahman</t>
  </si>
  <si>
    <t xml:space="preserve">TSE-VO-260729-11</t>
  </si>
  <si>
    <t xml:space="preserve">individual/magnesium_stearate/04_bse_tse_declaration_VO-260729-11.pdf</t>
  </si>
  <si>
    <t xml:space="preserve">MD-MGST</t>
  </si>
  <si>
    <t xml:space="preserve">individual/magnesium_stearate/05_material_description_VO-260729-11.pdf</t>
  </si>
  <si>
    <t xml:space="preserve">individual/magnesium_stearate/06_supplier_qualification_VO-260729-11.pdf</t>
  </si>
  <si>
    <t xml:space="preserve">Ms. Nurul Aisyah Rahman / Mr. Daniel Hargreaves</t>
  </si>
  <si>
    <t xml:space="preserve">COC-VO-260729-11</t>
  </si>
  <si>
    <t xml:space="preserve">individual/magnesium_stearate/07_chain_of_custody_VO-260729-11.pdf</t>
  </si>
  <si>
    <t xml:space="preserve">INV-9-11</t>
  </si>
  <si>
    <t xml:space="preserve">individual/magnesium_stearate/98_invoice_VO-260729-11.pdf</t>
  </si>
  <si>
    <t xml:space="preserve">individual/magnesium_stearate/99_fax_cover_VO-260729-11.pdf</t>
  </si>
  <si>
    <t xml:space="preserve">Page</t>
  </si>
  <si>
    <t xml:space="preserve">is_new_doc</t>
  </si>
  <si>
    <t xml:space="preserve">doc_type</t>
  </si>
  <si>
    <t xml:space="preserve">Source file</t>
  </si>
  <si>
    <t xml:space="preserve">Page in doc</t>
  </si>
  <si>
    <t xml:space="preserve">Pages in doc</t>
  </si>
  <si>
    <t xml:space="preserve">Yes</t>
  </si>
  <si>
    <t xml:space="preserve">01_cover_letter_AL-260817-03.pdf</t>
  </si>
  <si>
    <t xml:space="preserve">02_certificate_of_quality_AL-260817-03.pdf</t>
  </si>
  <si>
    <t xml:space="preserve">03_packaging_specification_AL-260817-03.pdf</t>
  </si>
  <si>
    <t xml:space="preserve">No</t>
  </si>
  <si>
    <t xml:space="preserve">04_bse_tse_declaration_AL-260817-03.pdf</t>
  </si>
  <si>
    <t xml:space="preserve">05_material_description_AL-260817-03.pdf</t>
  </si>
  <si>
    <t xml:space="preserve">06_supplier_qualification_AL-260817-03.pdf</t>
  </si>
  <si>
    <t xml:space="preserve">07_chain_of_custody_AL-260817-03.pdf</t>
  </si>
  <si>
    <t xml:space="preserve">04_bse_tse_declaration_VO-260729-11.pdf</t>
  </si>
  <si>
    <t xml:space="preserve">02_certificate_of_quality_VO-260729-11.pdf</t>
  </si>
  <si>
    <t xml:space="preserve">01_cover_letter_VO-260729-11.pdf</t>
  </si>
  <si>
    <t xml:space="preserve">05_material_description_VO-260729-11.pdf</t>
  </si>
  <si>
    <t xml:space="preserve">03_packaging_specification_VO-260729-11.pdf</t>
  </si>
  <si>
    <t xml:space="preserve">07_chain_of_custody_VO-260729-11.pdf</t>
  </si>
  <si>
    <t xml:space="preserve">06_supplier_qualification_VO-260729-11.pdf</t>
  </si>
  <si>
    <t xml:space="preserve">99_fax_cover_AL-260817-03.pdf</t>
  </si>
  <si>
    <t xml:space="preserve">AL-260822-01</t>
  </si>
  <si>
    <t xml:space="preserve">coq_l2.pdf</t>
  </si>
  <si>
    <t xml:space="preserve">98_invoice_AL-260817-03.pdf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</si>
</sst>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n">
        <f aca="false">COUNTIF('Page Truth'!$A$2:$A$30,A2)</f>
        <v>9</v>
      </c>
      <c r="C2" s="2" t="n">
        <f aca="false">COUNTIFS('Page Truth'!$A$2:$A$30,A2,'Page Truth'!$C$2:$C$30,"Yes")</f>
        <v>7</v>
      </c>
      <c r="D2" s="2" t="n">
        <f aca="false">COUNTIFS('Page Truth'!$A$2:$A$30,$A2,'Page Truth'!$C$2:$C$30,"Yes",'Page Truth'!$D$2:$D$30,D$1)</f>
        <v>1</v>
      </c>
      <c r="E2" s="2" t="n">
        <f aca="false">COUNTIFS('Page Truth'!$A$2:$A$30,$A2,'Page Truth'!$C$2:$C$30,"Yes",'Page Truth'!$D$2:$D$30,E$1)</f>
        <v>1</v>
      </c>
      <c r="F2" s="2" t="n">
        <f aca="false">COUNTIFS('Page Truth'!$A$2:$A$30,$A2,'Page Truth'!$C$2:$C$30,"Yes",'Page Truth'!$D$2:$D$30,F$1)</f>
        <v>1</v>
      </c>
      <c r="G2" s="2" t="n">
        <f aca="false">COUNTIFS('Page Truth'!$A$2:$A$30,$A2,'Page Truth'!$C$2:$C$30,"Yes",'Page Truth'!$D$2:$D$30,G$1)</f>
        <v>1</v>
      </c>
      <c r="H2" s="2" t="n">
        <f aca="false">COUNTIFS('Page Truth'!$A$2:$A$30,$A2,'Page Truth'!$C$2:$C$30,"Yes",'Page Truth'!$D$2:$D$30,H$1)</f>
        <v>1</v>
      </c>
      <c r="I2" s="2" t="n">
        <f aca="false">COUNTIFS('Page Truth'!$A$2:$A$30,$A2,'Page Truth'!$C$2:$C$30,"Yes",'Page Truth'!$D$2:$D$30,I$1)</f>
        <v>1</v>
      </c>
      <c r="J2" s="2" t="n">
        <f aca="false">COUNTIFS('Page Truth'!$A$2:$A$30,$A2,'Page Truth'!$C$2:$C$30,"Yes",'Page Truth'!$D$2:$D$30,J$1)</f>
        <v>1</v>
      </c>
      <c r="K2" s="2" t="n">
        <f aca="false">COUNTIFS('Page Truth'!$A$2:$A$30,$A2,'Page Truth'!$C$2:$C$30,"Yes",'Page Truth'!$D$2:$D$30,K$1)</f>
        <v>0</v>
      </c>
    </row>
    <row r="3" customFormat="false" ht="15" hidden="false" customHeight="false" outlineLevel="0" collapsed="false">
      <c r="A3" s="2" t="s">
        <v>12</v>
      </c>
      <c r="B3" s="2" t="n">
        <f aca="false">COUNTIF('Page Truth'!$A$2:$A$30,A3)</f>
        <v>9</v>
      </c>
      <c r="C3" s="2" t="n">
        <f aca="false">COUNTIFS('Page Truth'!$A$2:$A$30,A3,'Page Truth'!$C$2:$C$30,"Yes")</f>
        <v>7</v>
      </c>
      <c r="D3" s="2" t="n">
        <f aca="false">COUNTIFS('Page Truth'!$A$2:$A$30,$A3,'Page Truth'!$C$2:$C$30,"Yes",'Page Truth'!$D$2:$D$30,D$1)</f>
        <v>1</v>
      </c>
      <c r="E3" s="2" t="n">
        <f aca="false">COUNTIFS('Page Truth'!$A$2:$A$30,$A3,'Page Truth'!$C$2:$C$30,"Yes",'Page Truth'!$D$2:$D$30,E$1)</f>
        <v>1</v>
      </c>
      <c r="F3" s="2" t="n">
        <f aca="false">COUNTIFS('Page Truth'!$A$2:$A$30,$A3,'Page Truth'!$C$2:$C$30,"Yes",'Page Truth'!$D$2:$D$30,F$1)</f>
        <v>1</v>
      </c>
      <c r="G3" s="2" t="n">
        <f aca="false">COUNTIFS('Page Truth'!$A$2:$A$30,$A3,'Page Truth'!$C$2:$C$30,"Yes",'Page Truth'!$D$2:$D$30,G$1)</f>
        <v>1</v>
      </c>
      <c r="H3" s="2" t="n">
        <f aca="false">COUNTIFS('Page Truth'!$A$2:$A$30,$A3,'Page Truth'!$C$2:$C$30,"Yes",'Page Truth'!$D$2:$D$30,H$1)</f>
        <v>1</v>
      </c>
      <c r="I3" s="2" t="n">
        <f aca="false">COUNTIFS('Page Truth'!$A$2:$A$30,$A3,'Page Truth'!$C$2:$C$30,"Yes",'Page Truth'!$D$2:$D$30,I$1)</f>
        <v>1</v>
      </c>
      <c r="J3" s="2" t="n">
        <f aca="false">COUNTIFS('Page Truth'!$A$2:$A$30,$A3,'Page Truth'!$C$2:$C$30,"Yes",'Page Truth'!$D$2:$D$30,J$1)</f>
        <v>1</v>
      </c>
      <c r="K3" s="2" t="n">
        <f aca="false">COUNTIFS('Page Truth'!$A$2:$A$30,$A3,'Page Truth'!$C$2:$C$30,"Yes",'Page Truth'!$D$2:$D$30,K$1)</f>
        <v>0</v>
      </c>
    </row>
    <row r="4" customFormat="false" ht="15" hidden="false" customHeight="false" outlineLevel="0" collapsed="false">
      <c r="A4" s="2" t="s">
        <v>13</v>
      </c>
      <c r="B4" s="2" t="n">
        <f aca="false">COUNTIF('Page Truth'!$A$2:$A$30,A4)</f>
        <v>11</v>
      </c>
      <c r="C4" s="2" t="n">
        <f aca="false">COUNTIFS('Page Truth'!$A$2:$A$30,A4,'Page Truth'!$C$2:$C$30,"Yes")</f>
        <v>10</v>
      </c>
      <c r="D4" s="2" t="n">
        <f aca="false">COUNTIFS('Page Truth'!$A$2:$A$30,$A4,'Page Truth'!$C$2:$C$30,"Yes",'Page Truth'!$D$2:$D$30,D$1)</f>
        <v>2</v>
      </c>
      <c r="E4" s="2" t="n">
        <f aca="false">COUNTIFS('Page Truth'!$A$2:$A$30,$A4,'Page Truth'!$C$2:$C$30,"Yes",'Page Truth'!$D$2:$D$30,E$1)</f>
        <v>3</v>
      </c>
      <c r="F4" s="2" t="n">
        <f aca="false">COUNTIFS('Page Truth'!$A$2:$A$30,$A4,'Page Truth'!$C$2:$C$30,"Yes",'Page Truth'!$D$2:$D$30,F$1)</f>
        <v>1</v>
      </c>
      <c r="G4" s="2" t="n">
        <f aca="false">COUNTIFS('Page Truth'!$A$2:$A$30,$A4,'Page Truth'!$C$2:$C$30,"Yes",'Page Truth'!$D$2:$D$30,G$1)</f>
        <v>1</v>
      </c>
      <c r="H4" s="2" t="n">
        <f aca="false">COUNTIFS('Page Truth'!$A$2:$A$30,$A4,'Page Truth'!$C$2:$C$30,"Yes",'Page Truth'!$D$2:$D$30,H$1)</f>
        <v>0</v>
      </c>
      <c r="I4" s="2" t="n">
        <f aca="false">COUNTIFS('Page Truth'!$A$2:$A$30,$A4,'Page Truth'!$C$2:$C$30,"Yes",'Page Truth'!$D$2:$D$30,I$1)</f>
        <v>0</v>
      </c>
      <c r="J4" s="2" t="n">
        <f aca="false">COUNTIFS('Page Truth'!$A$2:$A$30,$A4,'Page Truth'!$C$2:$C$30,"Yes",'Page Truth'!$D$2:$D$30,J$1)</f>
        <v>1</v>
      </c>
      <c r="K4" s="2" t="n">
        <f aca="false">COUNTIFS('Page Truth'!$A$2:$A$30,$A4,'Page Truth'!$C$2:$C$30,"Yes",'Page Truth'!$D$2:$D$30,K$1)</f>
        <v>2</v>
      </c>
    </row>
    <row r="5" customFormat="false" ht="15" hidden="false" customHeight="false" outlineLevel="0" collapsed="false">
      <c r="A5" s="3" t="s">
        <v>14</v>
      </c>
      <c r="B5" s="3" t="n">
        <f aca="false">SUM(B2:B4)</f>
        <v>29</v>
      </c>
      <c r="C5" s="3" t="n">
        <f aca="false">SUM(C2:C4)</f>
        <v>24</v>
      </c>
      <c r="D5" s="3" t="n">
        <f aca="false">SUM(D2:D4)</f>
        <v>4</v>
      </c>
      <c r="E5" s="3" t="n">
        <f aca="false">SUM(E2:E4)</f>
        <v>5</v>
      </c>
      <c r="F5" s="3" t="n">
        <f aca="false">SUM(F2:F4)</f>
        <v>3</v>
      </c>
      <c r="G5" s="3" t="n">
        <f aca="false">SUM(G2:G4)</f>
        <v>3</v>
      </c>
      <c r="H5" s="3" t="n">
        <f aca="false">SUM(H2:H4)</f>
        <v>2</v>
      </c>
      <c r="I5" s="3" t="n">
        <f aca="false">SUM(I2:I4)</f>
        <v>2</v>
      </c>
      <c r="J5" s="3" t="n">
        <f aca="false">SUM(J2:J4)</f>
        <v>3</v>
      </c>
      <c r="K5" s="3" t="n">
        <f aca="false">SUM(K2:K4)</f>
        <v>2</v>
      </c>
    </row>
    <row r="7" customFormat="false" ht="15" hidden="false" customHeight="false" outlineLevel="0" collapsed="false">
      <c r="A7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2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</row>
    <row r="2" customFormat="false" ht="15" hidden="false" customHeight="false" outlineLevel="0" collapsed="false">
      <c r="A2" s="5" t="s">
        <v>19</v>
      </c>
      <c r="B2" s="5" t="s">
        <v>17</v>
      </c>
      <c r="C2" s="5" t="s">
        <v>18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</row>
    <row r="5" customFormat="false" ht="15" hidden="false" customHeight="false" outlineLevel="0" collapsed="false">
      <c r="A5" s="5" t="s">
        <v>26</v>
      </c>
      <c r="B5" s="5" t="s">
        <v>27</v>
      </c>
      <c r="C5" s="5" t="s">
        <v>28</v>
      </c>
    </row>
    <row r="6" customFormat="false" ht="15" hidden="false" customHeight="false" outlineLevel="0" collapsed="false">
      <c r="A6" s="5" t="s">
        <v>29</v>
      </c>
      <c r="B6" s="5" t="s">
        <v>30</v>
      </c>
      <c r="C6" s="5" t="s">
        <v>31</v>
      </c>
    </row>
    <row r="7" customFormat="false" ht="23.85" hidden="false" customHeight="false" outlineLevel="0" collapsed="false">
      <c r="A7" s="5" t="s">
        <v>32</v>
      </c>
      <c r="B7" s="5" t="s">
        <v>33</v>
      </c>
      <c r="C7" s="5" t="s">
        <v>34</v>
      </c>
    </row>
    <row r="8" customFormat="false" ht="15" hidden="false" customHeight="false" outlineLevel="0" collapsed="false">
      <c r="A8" s="5" t="s">
        <v>35</v>
      </c>
      <c r="B8" s="5" t="s">
        <v>36</v>
      </c>
      <c r="C8" s="5" t="s">
        <v>36</v>
      </c>
    </row>
    <row r="9" customFormat="false" ht="15" hidden="false" customHeight="false" outlineLevel="0" collapsed="false">
      <c r="A9" s="5" t="s">
        <v>37</v>
      </c>
      <c r="B9" s="5" t="s">
        <v>38</v>
      </c>
      <c r="C9" s="5" t="s">
        <v>39</v>
      </c>
    </row>
    <row r="10" customFormat="false" ht="15" hidden="false" customHeight="false" outlineLevel="0" collapsed="false">
      <c r="A10" s="5" t="s">
        <v>40</v>
      </c>
      <c r="B10" s="5" t="s">
        <v>41</v>
      </c>
      <c r="C10" s="5" t="s">
        <v>42</v>
      </c>
    </row>
    <row r="11" customFormat="false" ht="15" hidden="false" customHeight="false" outlineLevel="0" collapsed="false">
      <c r="A11" s="5" t="s">
        <v>43</v>
      </c>
      <c r="B11" s="5" t="s">
        <v>44</v>
      </c>
      <c r="C11" s="5" t="s">
        <v>45</v>
      </c>
    </row>
    <row r="12" customFormat="false" ht="15" hidden="false" customHeight="false" outlineLevel="0" collapsed="false">
      <c r="A12" s="5" t="s">
        <v>46</v>
      </c>
      <c r="B12" s="5" t="s">
        <v>47</v>
      </c>
      <c r="C12" s="5" t="s">
        <v>48</v>
      </c>
    </row>
    <row r="13" customFormat="false" ht="15" hidden="false" customHeight="false" outlineLevel="0" collapsed="false">
      <c r="A13" s="5" t="s">
        <v>49</v>
      </c>
      <c r="B13" s="5" t="s">
        <v>50</v>
      </c>
      <c r="C13" s="5" t="s">
        <v>51</v>
      </c>
    </row>
    <row r="14" customFormat="false" ht="15" hidden="false" customHeight="false" outlineLevel="0" collapsed="false">
      <c r="A14" s="5" t="s">
        <v>52</v>
      </c>
      <c r="B14" s="5" t="s">
        <v>53</v>
      </c>
      <c r="C14" s="5" t="s">
        <v>54</v>
      </c>
    </row>
    <row r="15" customFormat="false" ht="15" hidden="false" customHeight="false" outlineLevel="0" collapsed="false">
      <c r="A15" s="5" t="s">
        <v>55</v>
      </c>
      <c r="B15" s="5" t="s">
        <v>56</v>
      </c>
      <c r="C15" s="5" t="s">
        <v>57</v>
      </c>
    </row>
    <row r="16" customFormat="false" ht="15" hidden="false" customHeight="false" outlineLevel="0" collapsed="false">
      <c r="A16" s="5" t="s">
        <v>58</v>
      </c>
      <c r="B16" s="5" t="s">
        <v>59</v>
      </c>
      <c r="C16" s="5" t="s">
        <v>60</v>
      </c>
    </row>
    <row r="17" customFormat="false" ht="15" hidden="false" customHeight="false" outlineLevel="0" collapsed="false">
      <c r="A17" s="5" t="s">
        <v>61</v>
      </c>
      <c r="B17" s="5" t="s">
        <v>62</v>
      </c>
      <c r="C17" s="5" t="s">
        <v>63</v>
      </c>
    </row>
    <row r="18" customFormat="false" ht="15" hidden="false" customHeight="false" outlineLevel="0" collapsed="false">
      <c r="A18" s="5" t="s">
        <v>64</v>
      </c>
      <c r="B18" s="5" t="s">
        <v>65</v>
      </c>
      <c r="C18" s="5" t="s">
        <v>66</v>
      </c>
    </row>
    <row r="19" customFormat="false" ht="15" hidden="false" customHeight="false" outlineLevel="0" collapsed="false">
      <c r="A19" s="5" t="s">
        <v>67</v>
      </c>
      <c r="B19" s="5" t="s">
        <v>68</v>
      </c>
      <c r="C19" s="5" t="s">
        <v>69</v>
      </c>
    </row>
    <row r="20" customFormat="false" ht="15" hidden="false" customHeight="false" outlineLevel="0" collapsed="false">
      <c r="A20" s="5" t="s">
        <v>70</v>
      </c>
      <c r="B20" s="5" t="s">
        <v>71</v>
      </c>
      <c r="C20" s="5" t="s">
        <v>71</v>
      </c>
    </row>
    <row r="21" customFormat="false" ht="15" hidden="false" customHeight="false" outlineLevel="0" collapsed="false">
      <c r="A21" s="5" t="s">
        <v>72</v>
      </c>
      <c r="B21" s="5" t="s">
        <v>73</v>
      </c>
      <c r="C21" s="5" t="s">
        <v>74</v>
      </c>
    </row>
    <row r="22" customFormat="false" ht="15" hidden="false" customHeight="false" outlineLevel="0" collapsed="false">
      <c r="A22" s="5" t="s">
        <v>75</v>
      </c>
      <c r="B22" s="5" t="s">
        <v>76</v>
      </c>
      <c r="C22" s="5" t="s">
        <v>77</v>
      </c>
    </row>
    <row r="23" customFormat="false" ht="23.85" hidden="false" customHeight="false" outlineLevel="0" collapsed="false">
      <c r="A23" s="5" t="s">
        <v>78</v>
      </c>
      <c r="B23" s="5" t="s">
        <v>79</v>
      </c>
      <c r="C23" s="5" t="s">
        <v>80</v>
      </c>
    </row>
    <row r="24" customFormat="false" ht="15" hidden="false" customHeight="false" outlineLevel="0" collapsed="false">
      <c r="A24" s="5" t="s">
        <v>81</v>
      </c>
      <c r="B24" s="5" t="s">
        <v>82</v>
      </c>
      <c r="C24" s="5" t="s">
        <v>83</v>
      </c>
    </row>
    <row r="25" customFormat="false" ht="15" hidden="false" customHeight="false" outlineLevel="0" collapsed="false">
      <c r="A25" s="5" t="s">
        <v>84</v>
      </c>
      <c r="B25" s="5" t="s">
        <v>85</v>
      </c>
      <c r="C25" s="5" t="s">
        <v>86</v>
      </c>
    </row>
    <row r="26" customFormat="false" ht="23.85" hidden="false" customHeight="false" outlineLevel="0" collapsed="false">
      <c r="A26" s="5" t="s">
        <v>87</v>
      </c>
      <c r="B26" s="5" t="s">
        <v>88</v>
      </c>
      <c r="C26" s="5" t="s">
        <v>89</v>
      </c>
    </row>
  </sheetData>
  <autoFilter ref="A1:C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58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customFormat="false" ht="15" hidden="false" customHeight="false" outlineLevel="0" collapsed="false">
      <c r="A2" s="5" t="s">
        <v>17</v>
      </c>
      <c r="B2" s="5" t="s">
        <v>38</v>
      </c>
      <c r="C2" s="5" t="s">
        <v>3</v>
      </c>
      <c r="D2" s="5" t="s">
        <v>97</v>
      </c>
      <c r="E2" s="5" t="n">
        <v>1</v>
      </c>
      <c r="F2" s="5" t="s">
        <v>98</v>
      </c>
      <c r="G2" s="5" t="s">
        <v>65</v>
      </c>
    </row>
    <row r="3" customFormat="false" ht="15" hidden="false" customHeight="false" outlineLevel="0" collapsed="false">
      <c r="A3" s="5" t="s">
        <v>17</v>
      </c>
      <c r="B3" s="5" t="s">
        <v>38</v>
      </c>
      <c r="C3" s="5" t="s">
        <v>4</v>
      </c>
      <c r="D3" s="5" t="s">
        <v>99</v>
      </c>
      <c r="E3" s="5" t="n">
        <v>1</v>
      </c>
      <c r="F3" s="5" t="s">
        <v>100</v>
      </c>
      <c r="G3" s="5" t="s">
        <v>62</v>
      </c>
    </row>
    <row r="4" customFormat="false" ht="15" hidden="false" customHeight="false" outlineLevel="0" collapsed="false">
      <c r="A4" s="5" t="s">
        <v>17</v>
      </c>
      <c r="B4" s="5" t="s">
        <v>38</v>
      </c>
      <c r="C4" s="5" t="s">
        <v>5</v>
      </c>
      <c r="D4" s="5" t="s">
        <v>101</v>
      </c>
      <c r="E4" s="5" t="n">
        <v>2</v>
      </c>
      <c r="F4" s="5" t="s">
        <v>102</v>
      </c>
      <c r="G4" s="5" t="s">
        <v>103</v>
      </c>
    </row>
    <row r="5" customFormat="false" ht="15" hidden="false" customHeight="false" outlineLevel="0" collapsed="false">
      <c r="A5" s="5" t="s">
        <v>17</v>
      </c>
      <c r="B5" s="5" t="s">
        <v>38</v>
      </c>
      <c r="C5" s="5" t="s">
        <v>6</v>
      </c>
      <c r="D5" s="5" t="s">
        <v>104</v>
      </c>
      <c r="E5" s="5" t="n">
        <v>1</v>
      </c>
      <c r="F5" s="5" t="s">
        <v>105</v>
      </c>
      <c r="G5" s="5" t="s">
        <v>62</v>
      </c>
    </row>
    <row r="6" customFormat="false" ht="15" hidden="false" customHeight="false" outlineLevel="0" collapsed="false">
      <c r="A6" s="5" t="s">
        <v>17</v>
      </c>
      <c r="B6" s="5" t="s">
        <v>38</v>
      </c>
      <c r="C6" s="5" t="s">
        <v>7</v>
      </c>
      <c r="D6" s="5" t="s">
        <v>106</v>
      </c>
      <c r="E6" s="5" t="n">
        <v>1</v>
      </c>
      <c r="F6" s="5" t="s">
        <v>107</v>
      </c>
      <c r="G6" s="5" t="s">
        <v>89</v>
      </c>
    </row>
    <row r="7" customFormat="false" ht="15" hidden="false" customHeight="false" outlineLevel="0" collapsed="false">
      <c r="A7" s="5" t="s">
        <v>17</v>
      </c>
      <c r="B7" s="5" t="s">
        <v>38</v>
      </c>
      <c r="C7" s="5" t="s">
        <v>8</v>
      </c>
      <c r="D7" s="5" t="s">
        <v>59</v>
      </c>
      <c r="E7" s="5" t="n">
        <v>2</v>
      </c>
      <c r="F7" s="5" t="s">
        <v>108</v>
      </c>
      <c r="G7" s="5" t="s">
        <v>109</v>
      </c>
    </row>
    <row r="8" customFormat="false" ht="15" hidden="false" customHeight="false" outlineLevel="0" collapsed="false">
      <c r="A8" s="5" t="s">
        <v>17</v>
      </c>
      <c r="B8" s="5" t="s">
        <v>38</v>
      </c>
      <c r="C8" s="5" t="s">
        <v>9</v>
      </c>
      <c r="D8" s="5" t="s">
        <v>110</v>
      </c>
      <c r="E8" s="5" t="n">
        <v>1</v>
      </c>
      <c r="F8" s="5" t="s">
        <v>111</v>
      </c>
      <c r="G8" s="5" t="s">
        <v>62</v>
      </c>
    </row>
    <row r="9" customFormat="false" ht="15" hidden="false" customHeight="false" outlineLevel="0" collapsed="false">
      <c r="A9" s="5" t="s">
        <v>17</v>
      </c>
      <c r="B9" s="5" t="s">
        <v>38</v>
      </c>
      <c r="C9" s="5" t="s">
        <v>10</v>
      </c>
      <c r="D9" s="5" t="s">
        <v>112</v>
      </c>
      <c r="E9" s="5" t="n">
        <v>1</v>
      </c>
      <c r="F9" s="5" t="s">
        <v>113</v>
      </c>
      <c r="G9" s="5" t="s">
        <v>89</v>
      </c>
    </row>
    <row r="10" customFormat="false" ht="15" hidden="false" customHeight="false" outlineLevel="0" collapsed="false">
      <c r="A10" s="5" t="s">
        <v>17</v>
      </c>
      <c r="B10" s="5" t="s">
        <v>38</v>
      </c>
      <c r="C10" s="5" t="s">
        <v>10</v>
      </c>
      <c r="D10" s="5" t="s">
        <v>114</v>
      </c>
      <c r="E10" s="5" t="n">
        <v>1</v>
      </c>
      <c r="F10" s="5" t="s">
        <v>115</v>
      </c>
      <c r="G10" s="5" t="s">
        <v>89</v>
      </c>
    </row>
    <row r="11" customFormat="false" ht="15" hidden="false" customHeight="false" outlineLevel="0" collapsed="false">
      <c r="A11" s="5" t="s">
        <v>18</v>
      </c>
      <c r="B11" s="5" t="s">
        <v>39</v>
      </c>
      <c r="C11" s="5" t="s">
        <v>3</v>
      </c>
      <c r="D11" s="5" t="s">
        <v>116</v>
      </c>
      <c r="E11" s="5" t="n">
        <v>1</v>
      </c>
      <c r="F11" s="5" t="s">
        <v>117</v>
      </c>
      <c r="G11" s="5" t="s">
        <v>66</v>
      </c>
    </row>
    <row r="12" customFormat="false" ht="23.85" hidden="false" customHeight="false" outlineLevel="0" collapsed="false">
      <c r="A12" s="5" t="s">
        <v>18</v>
      </c>
      <c r="B12" s="5" t="s">
        <v>39</v>
      </c>
      <c r="C12" s="5" t="s">
        <v>4</v>
      </c>
      <c r="D12" s="5" t="s">
        <v>118</v>
      </c>
      <c r="E12" s="5" t="n">
        <v>1</v>
      </c>
      <c r="F12" s="5" t="s">
        <v>119</v>
      </c>
      <c r="G12" s="5" t="s">
        <v>63</v>
      </c>
    </row>
    <row r="13" customFormat="false" ht="23.85" hidden="false" customHeight="false" outlineLevel="0" collapsed="false">
      <c r="A13" s="5" t="s">
        <v>18</v>
      </c>
      <c r="B13" s="5" t="s">
        <v>39</v>
      </c>
      <c r="C13" s="5" t="s">
        <v>5</v>
      </c>
      <c r="D13" s="5" t="s">
        <v>120</v>
      </c>
      <c r="E13" s="5" t="n">
        <v>2</v>
      </c>
      <c r="F13" s="5" t="s">
        <v>121</v>
      </c>
      <c r="G13" s="5" t="s">
        <v>122</v>
      </c>
    </row>
    <row r="14" customFormat="false" ht="23.85" hidden="false" customHeight="false" outlineLevel="0" collapsed="false">
      <c r="A14" s="5" t="s">
        <v>18</v>
      </c>
      <c r="B14" s="5" t="s">
        <v>39</v>
      </c>
      <c r="C14" s="5" t="s">
        <v>6</v>
      </c>
      <c r="D14" s="5" t="s">
        <v>123</v>
      </c>
      <c r="E14" s="5" t="n">
        <v>1</v>
      </c>
      <c r="F14" s="5" t="s">
        <v>124</v>
      </c>
      <c r="G14" s="5" t="s">
        <v>63</v>
      </c>
    </row>
    <row r="15" customFormat="false" ht="23.85" hidden="false" customHeight="false" outlineLevel="0" collapsed="false">
      <c r="A15" s="5" t="s">
        <v>18</v>
      </c>
      <c r="B15" s="5" t="s">
        <v>39</v>
      </c>
      <c r="C15" s="5" t="s">
        <v>7</v>
      </c>
      <c r="D15" s="5" t="s">
        <v>125</v>
      </c>
      <c r="E15" s="5" t="n">
        <v>1</v>
      </c>
      <c r="F15" s="5" t="s">
        <v>126</v>
      </c>
      <c r="G15" s="5" t="s">
        <v>89</v>
      </c>
    </row>
    <row r="16" customFormat="false" ht="23.85" hidden="false" customHeight="false" outlineLevel="0" collapsed="false">
      <c r="A16" s="5" t="s">
        <v>18</v>
      </c>
      <c r="B16" s="5" t="s">
        <v>39</v>
      </c>
      <c r="C16" s="5" t="s">
        <v>8</v>
      </c>
      <c r="D16" s="5" t="s">
        <v>60</v>
      </c>
      <c r="E16" s="5" t="n">
        <v>2</v>
      </c>
      <c r="F16" s="5" t="s">
        <v>127</v>
      </c>
      <c r="G16" s="5" t="s">
        <v>128</v>
      </c>
    </row>
    <row r="17" customFormat="false" ht="23.85" hidden="false" customHeight="false" outlineLevel="0" collapsed="false">
      <c r="A17" s="5" t="s">
        <v>18</v>
      </c>
      <c r="B17" s="5" t="s">
        <v>39</v>
      </c>
      <c r="C17" s="5" t="s">
        <v>9</v>
      </c>
      <c r="D17" s="5" t="s">
        <v>129</v>
      </c>
      <c r="E17" s="5" t="n">
        <v>1</v>
      </c>
      <c r="F17" s="5" t="s">
        <v>130</v>
      </c>
      <c r="G17" s="5" t="s">
        <v>63</v>
      </c>
    </row>
    <row r="18" customFormat="false" ht="15" hidden="false" customHeight="false" outlineLevel="0" collapsed="false">
      <c r="A18" s="5" t="s">
        <v>18</v>
      </c>
      <c r="B18" s="5" t="s">
        <v>39</v>
      </c>
      <c r="C18" s="5" t="s">
        <v>10</v>
      </c>
      <c r="D18" s="5" t="s">
        <v>131</v>
      </c>
      <c r="E18" s="5" t="n">
        <v>1</v>
      </c>
      <c r="F18" s="5" t="s">
        <v>132</v>
      </c>
      <c r="G18" s="5" t="s">
        <v>89</v>
      </c>
    </row>
    <row r="19" customFormat="false" ht="15" hidden="false" customHeight="false" outlineLevel="0" collapsed="false">
      <c r="A19" s="5" t="s">
        <v>18</v>
      </c>
      <c r="B19" s="5" t="s">
        <v>39</v>
      </c>
      <c r="C19" s="5" t="s">
        <v>10</v>
      </c>
      <c r="D19" s="5" t="s">
        <v>114</v>
      </c>
      <c r="E19" s="5" t="n">
        <v>1</v>
      </c>
      <c r="F19" s="5" t="s">
        <v>133</v>
      </c>
      <c r="G19" s="5" t="s">
        <v>89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" t="s">
        <v>0</v>
      </c>
      <c r="B1" s="1" t="s">
        <v>134</v>
      </c>
      <c r="C1" s="1" t="s">
        <v>135</v>
      </c>
      <c r="D1" s="1" t="s">
        <v>136</v>
      </c>
      <c r="E1" s="1" t="s">
        <v>90</v>
      </c>
      <c r="F1" s="1" t="s">
        <v>91</v>
      </c>
      <c r="G1" s="1" t="s">
        <v>137</v>
      </c>
      <c r="H1" s="1" t="s">
        <v>138</v>
      </c>
      <c r="I1" s="1" t="s">
        <v>139</v>
      </c>
    </row>
    <row r="2" customFormat="false" ht="15" hidden="false" customHeight="false" outlineLevel="0" collapsed="false">
      <c r="A2" s="5" t="s">
        <v>11</v>
      </c>
      <c r="B2" s="5" t="n">
        <v>1</v>
      </c>
      <c r="C2" s="5" t="s">
        <v>140</v>
      </c>
      <c r="D2" s="5" t="s">
        <v>3</v>
      </c>
      <c r="E2" s="5" t="s">
        <v>17</v>
      </c>
      <c r="F2" s="5" t="s">
        <v>38</v>
      </c>
      <c r="G2" s="5" t="s">
        <v>141</v>
      </c>
      <c r="H2" s="5" t="n">
        <v>1</v>
      </c>
      <c r="I2" s="5" t="n">
        <v>1</v>
      </c>
    </row>
    <row r="3" customFormat="false" ht="15" hidden="false" customHeight="false" outlineLevel="0" collapsed="false">
      <c r="A3" s="5" t="s">
        <v>11</v>
      </c>
      <c r="B3" s="5" t="n">
        <v>2</v>
      </c>
      <c r="C3" s="5" t="s">
        <v>140</v>
      </c>
      <c r="D3" s="5" t="s">
        <v>4</v>
      </c>
      <c r="E3" s="5" t="s">
        <v>17</v>
      </c>
      <c r="F3" s="5" t="s">
        <v>38</v>
      </c>
      <c r="G3" s="5" t="s">
        <v>142</v>
      </c>
      <c r="H3" s="5" t="n">
        <v>1</v>
      </c>
      <c r="I3" s="5" t="n">
        <v>1</v>
      </c>
    </row>
    <row r="4" customFormat="false" ht="15" hidden="false" customHeight="false" outlineLevel="0" collapsed="false">
      <c r="A4" s="5" t="s">
        <v>11</v>
      </c>
      <c r="B4" s="5" t="n">
        <v>3</v>
      </c>
      <c r="C4" s="5" t="s">
        <v>140</v>
      </c>
      <c r="D4" s="5" t="s">
        <v>5</v>
      </c>
      <c r="E4" s="5" t="s">
        <v>17</v>
      </c>
      <c r="F4" s="5" t="s">
        <v>38</v>
      </c>
      <c r="G4" s="5" t="s">
        <v>143</v>
      </c>
      <c r="H4" s="5" t="n">
        <v>1</v>
      </c>
      <c r="I4" s="5" t="n">
        <v>2</v>
      </c>
    </row>
    <row r="5" customFormat="false" ht="15" hidden="false" customHeight="false" outlineLevel="0" collapsed="false">
      <c r="A5" s="5" t="s">
        <v>11</v>
      </c>
      <c r="B5" s="5" t="n">
        <v>4</v>
      </c>
      <c r="C5" s="5" t="s">
        <v>144</v>
      </c>
      <c r="D5" s="5"/>
      <c r="E5" s="5" t="s">
        <v>17</v>
      </c>
      <c r="F5" s="5" t="s">
        <v>38</v>
      </c>
      <c r="G5" s="5" t="s">
        <v>143</v>
      </c>
      <c r="H5" s="5" t="n">
        <v>2</v>
      </c>
      <c r="I5" s="5" t="n">
        <v>2</v>
      </c>
    </row>
    <row r="6" customFormat="false" ht="15" hidden="false" customHeight="false" outlineLevel="0" collapsed="false">
      <c r="A6" s="5" t="s">
        <v>11</v>
      </c>
      <c r="B6" s="5" t="n">
        <v>5</v>
      </c>
      <c r="C6" s="5" t="s">
        <v>140</v>
      </c>
      <c r="D6" s="5" t="s">
        <v>6</v>
      </c>
      <c r="E6" s="5" t="s">
        <v>17</v>
      </c>
      <c r="F6" s="5" t="s">
        <v>38</v>
      </c>
      <c r="G6" s="5" t="s">
        <v>145</v>
      </c>
      <c r="H6" s="5" t="n">
        <v>1</v>
      </c>
      <c r="I6" s="5" t="n">
        <v>1</v>
      </c>
    </row>
    <row r="7" customFormat="false" ht="15" hidden="false" customHeight="false" outlineLevel="0" collapsed="false">
      <c r="A7" s="5" t="s">
        <v>11</v>
      </c>
      <c r="B7" s="5" t="n">
        <v>6</v>
      </c>
      <c r="C7" s="5" t="s">
        <v>140</v>
      </c>
      <c r="D7" s="5" t="s">
        <v>7</v>
      </c>
      <c r="E7" s="5" t="s">
        <v>17</v>
      </c>
      <c r="F7" s="5" t="s">
        <v>38</v>
      </c>
      <c r="G7" s="5" t="s">
        <v>146</v>
      </c>
      <c r="H7" s="5" t="n">
        <v>1</v>
      </c>
      <c r="I7" s="5" t="n">
        <v>1</v>
      </c>
    </row>
    <row r="8" customFormat="false" ht="15" hidden="false" customHeight="false" outlineLevel="0" collapsed="false">
      <c r="A8" s="5" t="s">
        <v>11</v>
      </c>
      <c r="B8" s="5" t="n">
        <v>7</v>
      </c>
      <c r="C8" s="5" t="s">
        <v>140</v>
      </c>
      <c r="D8" s="5" t="s">
        <v>8</v>
      </c>
      <c r="E8" s="5" t="s">
        <v>17</v>
      </c>
      <c r="F8" s="5" t="s">
        <v>38</v>
      </c>
      <c r="G8" s="5" t="s">
        <v>147</v>
      </c>
      <c r="H8" s="5" t="n">
        <v>1</v>
      </c>
      <c r="I8" s="5" t="n">
        <v>2</v>
      </c>
    </row>
    <row r="9" customFormat="false" ht="15" hidden="false" customHeight="false" outlineLevel="0" collapsed="false">
      <c r="A9" s="5" t="s">
        <v>11</v>
      </c>
      <c r="B9" s="5" t="n">
        <v>8</v>
      </c>
      <c r="C9" s="5" t="s">
        <v>144</v>
      </c>
      <c r="D9" s="5"/>
      <c r="E9" s="5" t="s">
        <v>17</v>
      </c>
      <c r="F9" s="5" t="s">
        <v>38</v>
      </c>
      <c r="G9" s="5" t="s">
        <v>147</v>
      </c>
      <c r="H9" s="5" t="n">
        <v>2</v>
      </c>
      <c r="I9" s="5" t="n">
        <v>2</v>
      </c>
    </row>
    <row r="10" customFormat="false" ht="15" hidden="false" customHeight="false" outlineLevel="0" collapsed="false">
      <c r="A10" s="5" t="s">
        <v>11</v>
      </c>
      <c r="B10" s="5" t="n">
        <v>9</v>
      </c>
      <c r="C10" s="5" t="s">
        <v>140</v>
      </c>
      <c r="D10" s="5" t="s">
        <v>9</v>
      </c>
      <c r="E10" s="5" t="s">
        <v>17</v>
      </c>
      <c r="F10" s="5" t="s">
        <v>38</v>
      </c>
      <c r="G10" s="5" t="s">
        <v>148</v>
      </c>
      <c r="H10" s="5" t="n">
        <v>1</v>
      </c>
      <c r="I10" s="5" t="n">
        <v>1</v>
      </c>
    </row>
    <row r="11" customFormat="false" ht="15" hidden="false" customHeight="false" outlineLevel="0" collapsed="false">
      <c r="A11" s="5" t="s">
        <v>12</v>
      </c>
      <c r="B11" s="5" t="n">
        <v>1</v>
      </c>
      <c r="C11" s="5" t="s">
        <v>140</v>
      </c>
      <c r="D11" s="5" t="s">
        <v>6</v>
      </c>
      <c r="E11" s="5" t="s">
        <v>18</v>
      </c>
      <c r="F11" s="5" t="s">
        <v>39</v>
      </c>
      <c r="G11" s="5" t="s">
        <v>149</v>
      </c>
      <c r="H11" s="5" t="n">
        <v>1</v>
      </c>
      <c r="I11" s="5" t="n">
        <v>1</v>
      </c>
    </row>
    <row r="12" customFormat="false" ht="15" hidden="false" customHeight="false" outlineLevel="0" collapsed="false">
      <c r="A12" s="5" t="s">
        <v>12</v>
      </c>
      <c r="B12" s="5" t="n">
        <v>2</v>
      </c>
      <c r="C12" s="5" t="s">
        <v>140</v>
      </c>
      <c r="D12" s="5" t="s">
        <v>4</v>
      </c>
      <c r="E12" s="5" t="s">
        <v>18</v>
      </c>
      <c r="F12" s="5" t="s">
        <v>39</v>
      </c>
      <c r="G12" s="5" t="s">
        <v>150</v>
      </c>
      <c r="H12" s="5" t="n">
        <v>1</v>
      </c>
      <c r="I12" s="5" t="n">
        <v>1</v>
      </c>
    </row>
    <row r="13" customFormat="false" ht="15" hidden="false" customHeight="false" outlineLevel="0" collapsed="false">
      <c r="A13" s="5" t="s">
        <v>12</v>
      </c>
      <c r="B13" s="5" t="n">
        <v>3</v>
      </c>
      <c r="C13" s="5" t="s">
        <v>140</v>
      </c>
      <c r="D13" s="5" t="s">
        <v>3</v>
      </c>
      <c r="E13" s="5" t="s">
        <v>18</v>
      </c>
      <c r="F13" s="5" t="s">
        <v>39</v>
      </c>
      <c r="G13" s="5" t="s">
        <v>151</v>
      </c>
      <c r="H13" s="5" t="n">
        <v>1</v>
      </c>
      <c r="I13" s="5" t="n">
        <v>1</v>
      </c>
    </row>
    <row r="14" customFormat="false" ht="15" hidden="false" customHeight="false" outlineLevel="0" collapsed="false">
      <c r="A14" s="5" t="s">
        <v>12</v>
      </c>
      <c r="B14" s="5" t="n">
        <v>4</v>
      </c>
      <c r="C14" s="5" t="s">
        <v>140</v>
      </c>
      <c r="D14" s="5" t="s">
        <v>7</v>
      </c>
      <c r="E14" s="5" t="s">
        <v>18</v>
      </c>
      <c r="F14" s="5" t="s">
        <v>39</v>
      </c>
      <c r="G14" s="5" t="s">
        <v>152</v>
      </c>
      <c r="H14" s="5" t="n">
        <v>1</v>
      </c>
      <c r="I14" s="5" t="n">
        <v>1</v>
      </c>
    </row>
    <row r="15" customFormat="false" ht="15" hidden="false" customHeight="false" outlineLevel="0" collapsed="false">
      <c r="A15" s="5" t="s">
        <v>12</v>
      </c>
      <c r="B15" s="5" t="n">
        <v>5</v>
      </c>
      <c r="C15" s="5" t="s">
        <v>140</v>
      </c>
      <c r="D15" s="5" t="s">
        <v>5</v>
      </c>
      <c r="E15" s="5" t="s">
        <v>18</v>
      </c>
      <c r="F15" s="5" t="s">
        <v>39</v>
      </c>
      <c r="G15" s="5" t="s">
        <v>153</v>
      </c>
      <c r="H15" s="5" t="n">
        <v>1</v>
      </c>
      <c r="I15" s="5" t="n">
        <v>2</v>
      </c>
    </row>
    <row r="16" customFormat="false" ht="15" hidden="false" customHeight="false" outlineLevel="0" collapsed="false">
      <c r="A16" s="5" t="s">
        <v>12</v>
      </c>
      <c r="B16" s="5" t="n">
        <v>6</v>
      </c>
      <c r="C16" s="5" t="s">
        <v>144</v>
      </c>
      <c r="D16" s="5"/>
      <c r="E16" s="5" t="s">
        <v>18</v>
      </c>
      <c r="F16" s="5" t="s">
        <v>39</v>
      </c>
      <c r="G16" s="5" t="s">
        <v>153</v>
      </c>
      <c r="H16" s="5" t="n">
        <v>2</v>
      </c>
      <c r="I16" s="5" t="n">
        <v>2</v>
      </c>
    </row>
    <row r="17" customFormat="false" ht="15" hidden="false" customHeight="false" outlineLevel="0" collapsed="false">
      <c r="A17" s="5" t="s">
        <v>12</v>
      </c>
      <c r="B17" s="5" t="n">
        <v>7</v>
      </c>
      <c r="C17" s="5" t="s">
        <v>140</v>
      </c>
      <c r="D17" s="5" t="s">
        <v>9</v>
      </c>
      <c r="E17" s="5" t="s">
        <v>18</v>
      </c>
      <c r="F17" s="5" t="s">
        <v>39</v>
      </c>
      <c r="G17" s="5" t="s">
        <v>154</v>
      </c>
      <c r="H17" s="5" t="n">
        <v>1</v>
      </c>
      <c r="I17" s="5" t="n">
        <v>1</v>
      </c>
    </row>
    <row r="18" customFormat="false" ht="15" hidden="false" customHeight="false" outlineLevel="0" collapsed="false">
      <c r="A18" s="5" t="s">
        <v>12</v>
      </c>
      <c r="B18" s="5" t="n">
        <v>8</v>
      </c>
      <c r="C18" s="5" t="s">
        <v>140</v>
      </c>
      <c r="D18" s="5" t="s">
        <v>8</v>
      </c>
      <c r="E18" s="5" t="s">
        <v>18</v>
      </c>
      <c r="F18" s="5" t="s">
        <v>39</v>
      </c>
      <c r="G18" s="5" t="s">
        <v>155</v>
      </c>
      <c r="H18" s="5" t="n">
        <v>1</v>
      </c>
      <c r="I18" s="5" t="n">
        <v>2</v>
      </c>
    </row>
    <row r="19" customFormat="false" ht="15" hidden="false" customHeight="false" outlineLevel="0" collapsed="false">
      <c r="A19" s="5" t="s">
        <v>12</v>
      </c>
      <c r="B19" s="5" t="n">
        <v>9</v>
      </c>
      <c r="C19" s="5" t="s">
        <v>144</v>
      </c>
      <c r="D19" s="5"/>
      <c r="E19" s="5" t="s">
        <v>18</v>
      </c>
      <c r="F19" s="5" t="s">
        <v>39</v>
      </c>
      <c r="G19" s="5" t="s">
        <v>155</v>
      </c>
      <c r="H19" s="5" t="n">
        <v>2</v>
      </c>
      <c r="I19" s="5" t="n">
        <v>2</v>
      </c>
    </row>
    <row r="20" customFormat="false" ht="15" hidden="false" customHeight="false" outlineLevel="0" collapsed="false">
      <c r="A20" s="5" t="s">
        <v>13</v>
      </c>
      <c r="B20" s="5" t="n">
        <v>1</v>
      </c>
      <c r="C20" s="5" t="s">
        <v>140</v>
      </c>
      <c r="D20" s="5" t="s">
        <v>10</v>
      </c>
      <c r="E20" s="5" t="s">
        <v>17</v>
      </c>
      <c r="F20" s="5" t="s">
        <v>38</v>
      </c>
      <c r="G20" s="5" t="s">
        <v>156</v>
      </c>
      <c r="H20" s="5" t="n">
        <v>1</v>
      </c>
      <c r="I20" s="5" t="n">
        <v>1</v>
      </c>
    </row>
    <row r="21" customFormat="false" ht="15" hidden="false" customHeight="false" outlineLevel="0" collapsed="false">
      <c r="A21" s="5" t="s">
        <v>13</v>
      </c>
      <c r="B21" s="5" t="n">
        <v>2</v>
      </c>
      <c r="C21" s="5" t="s">
        <v>140</v>
      </c>
      <c r="D21" s="5" t="s">
        <v>3</v>
      </c>
      <c r="E21" s="5" t="s">
        <v>17</v>
      </c>
      <c r="F21" s="5" t="s">
        <v>38</v>
      </c>
      <c r="G21" s="5" t="s">
        <v>141</v>
      </c>
      <c r="H21" s="5" t="n">
        <v>1</v>
      </c>
      <c r="I21" s="5" t="n">
        <v>1</v>
      </c>
    </row>
    <row r="22" customFormat="false" ht="15" hidden="false" customHeight="false" outlineLevel="0" collapsed="false">
      <c r="A22" s="5" t="s">
        <v>13</v>
      </c>
      <c r="B22" s="5" t="n">
        <v>3</v>
      </c>
      <c r="C22" s="5" t="s">
        <v>140</v>
      </c>
      <c r="D22" s="5" t="s">
        <v>4</v>
      </c>
      <c r="E22" s="5" t="s">
        <v>17</v>
      </c>
      <c r="F22" s="5" t="s">
        <v>38</v>
      </c>
      <c r="G22" s="5" t="s">
        <v>142</v>
      </c>
      <c r="H22" s="5" t="n">
        <v>1</v>
      </c>
      <c r="I22" s="5" t="n">
        <v>1</v>
      </c>
    </row>
    <row r="23" customFormat="false" ht="15" hidden="false" customHeight="false" outlineLevel="0" collapsed="false">
      <c r="A23" s="5" t="s">
        <v>13</v>
      </c>
      <c r="B23" s="5" t="n">
        <v>4</v>
      </c>
      <c r="C23" s="5" t="s">
        <v>140</v>
      </c>
      <c r="D23" s="5" t="s">
        <v>4</v>
      </c>
      <c r="E23" s="5" t="s">
        <v>17</v>
      </c>
      <c r="F23" s="5" t="s">
        <v>157</v>
      </c>
      <c r="G23" s="5" t="s">
        <v>158</v>
      </c>
      <c r="H23" s="5" t="n">
        <v>1</v>
      </c>
      <c r="I23" s="5" t="n">
        <v>1</v>
      </c>
    </row>
    <row r="24" customFormat="false" ht="15" hidden="false" customHeight="false" outlineLevel="0" collapsed="false">
      <c r="A24" s="5" t="s">
        <v>13</v>
      </c>
      <c r="B24" s="5" t="n">
        <v>5</v>
      </c>
      <c r="C24" s="5" t="s">
        <v>140</v>
      </c>
      <c r="D24" s="5" t="s">
        <v>6</v>
      </c>
      <c r="E24" s="5" t="s">
        <v>17</v>
      </c>
      <c r="F24" s="5" t="s">
        <v>38</v>
      </c>
      <c r="G24" s="5" t="s">
        <v>145</v>
      </c>
      <c r="H24" s="5" t="n">
        <v>1</v>
      </c>
      <c r="I24" s="5" t="n">
        <v>1</v>
      </c>
    </row>
    <row r="25" customFormat="false" ht="15" hidden="false" customHeight="false" outlineLevel="0" collapsed="false">
      <c r="A25" s="5" t="s">
        <v>13</v>
      </c>
      <c r="B25" s="5" t="n">
        <v>6</v>
      </c>
      <c r="C25" s="5" t="s">
        <v>140</v>
      </c>
      <c r="D25" s="5" t="s">
        <v>10</v>
      </c>
      <c r="E25" s="5" t="s">
        <v>17</v>
      </c>
      <c r="F25" s="5" t="s">
        <v>38</v>
      </c>
      <c r="G25" s="5" t="s">
        <v>159</v>
      </c>
      <c r="H25" s="5" t="n">
        <v>1</v>
      </c>
      <c r="I25" s="5" t="n">
        <v>1</v>
      </c>
    </row>
    <row r="26" customFormat="false" ht="15" hidden="false" customHeight="false" outlineLevel="0" collapsed="false">
      <c r="A26" s="5" t="s">
        <v>13</v>
      </c>
      <c r="B26" s="5" t="n">
        <v>7</v>
      </c>
      <c r="C26" s="5" t="s">
        <v>140</v>
      </c>
      <c r="D26" s="5" t="s">
        <v>3</v>
      </c>
      <c r="E26" s="5" t="s">
        <v>18</v>
      </c>
      <c r="F26" s="5" t="s">
        <v>39</v>
      </c>
      <c r="G26" s="5" t="s">
        <v>151</v>
      </c>
      <c r="H26" s="5" t="n">
        <v>1</v>
      </c>
      <c r="I26" s="5" t="n">
        <v>1</v>
      </c>
    </row>
    <row r="27" customFormat="false" ht="15" hidden="false" customHeight="false" outlineLevel="0" collapsed="false">
      <c r="A27" s="5" t="s">
        <v>13</v>
      </c>
      <c r="B27" s="5" t="n">
        <v>8</v>
      </c>
      <c r="C27" s="5" t="s">
        <v>140</v>
      </c>
      <c r="D27" s="5" t="s">
        <v>4</v>
      </c>
      <c r="E27" s="5" t="s">
        <v>18</v>
      </c>
      <c r="F27" s="5" t="s">
        <v>39</v>
      </c>
      <c r="G27" s="5" t="s">
        <v>150</v>
      </c>
      <c r="H27" s="5" t="n">
        <v>1</v>
      </c>
      <c r="I27" s="5" t="n">
        <v>1</v>
      </c>
    </row>
    <row r="28" customFormat="false" ht="15" hidden="false" customHeight="false" outlineLevel="0" collapsed="false">
      <c r="A28" s="5" t="s">
        <v>13</v>
      </c>
      <c r="B28" s="5" t="n">
        <v>9</v>
      </c>
      <c r="C28" s="5" t="s">
        <v>140</v>
      </c>
      <c r="D28" s="5" t="s">
        <v>5</v>
      </c>
      <c r="E28" s="5" t="s">
        <v>18</v>
      </c>
      <c r="F28" s="5" t="s">
        <v>39</v>
      </c>
      <c r="G28" s="5" t="s">
        <v>153</v>
      </c>
      <c r="H28" s="5" t="n">
        <v>1</v>
      </c>
      <c r="I28" s="5" t="n">
        <v>2</v>
      </c>
    </row>
    <row r="29" customFormat="false" ht="15" hidden="false" customHeight="false" outlineLevel="0" collapsed="false">
      <c r="A29" s="5" t="s">
        <v>13</v>
      </c>
      <c r="B29" s="5" t="n">
        <v>10</v>
      </c>
      <c r="C29" s="5" t="s">
        <v>144</v>
      </c>
      <c r="D29" s="5"/>
      <c r="E29" s="5" t="s">
        <v>18</v>
      </c>
      <c r="F29" s="5" t="s">
        <v>39</v>
      </c>
      <c r="G29" s="5" t="s">
        <v>153</v>
      </c>
      <c r="H29" s="5" t="n">
        <v>2</v>
      </c>
      <c r="I29" s="5" t="n">
        <v>2</v>
      </c>
    </row>
    <row r="30" customFormat="false" ht="15" hidden="false" customHeight="false" outlineLevel="0" collapsed="false">
      <c r="A30" s="5" t="s">
        <v>13</v>
      </c>
      <c r="B30" s="5" t="n">
        <v>11</v>
      </c>
      <c r="C30" s="5" t="s">
        <v>140</v>
      </c>
      <c r="D30" s="5" t="s">
        <v>9</v>
      </c>
      <c r="E30" s="5" t="s">
        <v>18</v>
      </c>
      <c r="F30" s="5" t="s">
        <v>39</v>
      </c>
      <c r="G30" s="5" t="s">
        <v>154</v>
      </c>
      <c r="H30" s="5" t="n">
        <v>1</v>
      </c>
      <c r="I30" s="5" t="n">
        <v>1</v>
      </c>
    </row>
  </sheetData>
  <autoFilter ref="A1:I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2026-10-11T02:39:36Z</dcterms:created>
  <dc:creator>openpyxl</dc:creator>
  <dc:description/>
  <dc:language>en-US</dc:language>
  <cp:lastModifiedBy/>
  <dcterms:modified xsi:type="dcterms:W3CDTF">2026-10-11T02:39:36Z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